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acer\Documents\komputer tiip3\"/>
    </mc:Choice>
  </mc:AlternateContent>
  <xr:revisionPtr revIDLastSave="0" documentId="8_{A647854F-0125-475A-9031-412B35ABDFE0}" xr6:coauthVersionLast="47" xr6:coauthVersionMax="47" xr10:uidLastSave="{00000000-0000-0000-0000-000000000000}"/>
  <bookViews>
    <workbookView xWindow="-105" yWindow="0" windowWidth="14610" windowHeight="16305" xr2:uid="{2832C268-1B6C-4618-BFAD-8FA846612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F22" i="1"/>
  <c r="E22" i="1"/>
  <c r="E23" i="1"/>
  <c r="E24" i="1"/>
  <c r="E25" i="1"/>
  <c r="E26" i="1"/>
  <c r="E27" i="1"/>
  <c r="E28" i="1"/>
  <c r="E29" i="1"/>
  <c r="D23" i="1"/>
  <c r="D24" i="1"/>
  <c r="D25" i="1"/>
  <c r="D26" i="1"/>
  <c r="D27" i="1"/>
  <c r="D28" i="1"/>
  <c r="D29" i="1"/>
  <c r="D22" i="1"/>
  <c r="C14" i="1"/>
  <c r="C13" i="1"/>
  <c r="C12" i="1"/>
  <c r="D11" i="1"/>
  <c r="C11" i="1"/>
  <c r="E4" i="1"/>
  <c r="E5" i="1"/>
  <c r="E14" i="1" s="1"/>
  <c r="E6" i="1"/>
  <c r="E7" i="1"/>
  <c r="E8" i="1"/>
  <c r="E9" i="1"/>
  <c r="E10" i="1"/>
  <c r="E3" i="1"/>
  <c r="E13" i="1" l="1"/>
  <c r="E12" i="1"/>
  <c r="E11" i="1"/>
</calcChain>
</file>

<file path=xl/sharedStrings.xml><?xml version="1.0" encoding="utf-8"?>
<sst xmlns="http://schemas.openxmlformats.org/spreadsheetml/2006/main" count="45" uniqueCount="36">
  <si>
    <t>total</t>
  </si>
  <si>
    <t>sang pemimpi</t>
  </si>
  <si>
    <t>harga tertinggi</t>
  </si>
  <si>
    <t>Judul Buku</t>
  </si>
  <si>
    <t xml:space="preserve">Harga Satuan </t>
  </si>
  <si>
    <t xml:space="preserve">Jumlah Pembelian </t>
  </si>
  <si>
    <t>Total</t>
  </si>
  <si>
    <t>Maryamah Karpov</t>
  </si>
  <si>
    <t>Bulan Terbelah di Langit Amerika</t>
  </si>
  <si>
    <t>Dongeng Dukuh Paruk</t>
  </si>
  <si>
    <t>Toko Buku Merdeka</t>
  </si>
  <si>
    <t>Negeri 5 Menara</t>
  </si>
  <si>
    <t>Bumi Manusia</t>
  </si>
  <si>
    <t>Cantik Itu Luka</t>
  </si>
  <si>
    <t>Kita pagi ini</t>
  </si>
  <si>
    <t>harga terendah</t>
  </si>
  <si>
    <t>rata rata harga</t>
  </si>
  <si>
    <t xml:space="preserve">Perpustakan </t>
  </si>
  <si>
    <t xml:space="preserve">denda perhari </t>
  </si>
  <si>
    <t>Jumlah Hari</t>
  </si>
  <si>
    <t>Total Denda</t>
  </si>
  <si>
    <t>Hadiah</t>
  </si>
  <si>
    <t>Jumlah penghapus</t>
  </si>
  <si>
    <t>Jumlah Mobil</t>
  </si>
  <si>
    <t>Jumlah Motor</t>
  </si>
  <si>
    <t>divisi</t>
  </si>
  <si>
    <t>smk</t>
  </si>
  <si>
    <t>sma</t>
  </si>
  <si>
    <t>s1</t>
  </si>
  <si>
    <t>s2</t>
  </si>
  <si>
    <t>d3</t>
  </si>
  <si>
    <t>s3</t>
  </si>
  <si>
    <t>umum</t>
  </si>
  <si>
    <t>hrd</t>
  </si>
  <si>
    <t>it</t>
  </si>
  <si>
    <t>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</si>
</sst>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p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165" fontId="0" fillId="0" borderId="0" xfId="0" applyNumberFormat="1"/>
    <xf numFmtId="0" fontId="0" fillId="0" borderId="0" xfId="0" applyBorder="1"/>
    <xf numFmtId="0" fontId="0" fillId="0" borderId="1" xfId="0" applyFill="1" applyBorder="1"/>
    <xf numFmtId="0" fontId="0" fillId="0" borderId="0" xfId="0" applyFill="1" applyBorder="1"/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umum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Sheet1!$C$35:$H$35</c:f>
              <c:strCache>
                <c:ptCount val="6"/>
                <c:pt idx="0">
                  <c:v>smk</c:v>
                </c:pt>
                <c:pt idx="1">
                  <c:v>sma</c:v>
                </c:pt>
                <c:pt idx="2">
                  <c:v>d3</c:v>
                </c:pt>
                <c:pt idx="3">
                  <c:v>s1</c:v>
                </c:pt>
                <c:pt idx="4">
                  <c:v>s2</c:v>
                </c:pt>
                <c:pt idx="5">
                  <c:v>s3</c:v>
                </c:pt>
              </c:strCache>
            </c:strRef>
          </c:cat>
          <c:val>
            <c:numRef>
              <c:f>Sheet1!$C$36:$H$36</c:f>
              <c:numCache>
                <c:formatCode>General</c:formatCode>
                <c:ptCount val="6"/>
                <c:pt idx="0" formatCode="#,##0">
                  <c:v>15</c:v>
                </c:pt>
                <c:pt idx="1">
                  <c:v>4</c:v>
                </c:pt>
                <c:pt idx="2">
                  <c:v>12</c:v>
                </c:pt>
                <c:pt idx="3">
                  <c:v>10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F-4A26-A617-D924286E7F00}"/>
            </c:ext>
          </c:extLst>
        </c:ser>
        <c:ser>
          <c:idx val="1"/>
          <c:order val="1"/>
          <c:tx>
            <c:strRef>
              <c:f>Sheet1!$B$37</c:f>
              <c:strCache>
                <c:ptCount val="1"/>
                <c:pt idx="0">
                  <c:v>hrd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Sheet1!$C$35:$H$35</c:f>
              <c:strCache>
                <c:ptCount val="6"/>
                <c:pt idx="0">
                  <c:v>smk</c:v>
                </c:pt>
                <c:pt idx="1">
                  <c:v>sma</c:v>
                </c:pt>
                <c:pt idx="2">
                  <c:v>d3</c:v>
                </c:pt>
                <c:pt idx="3">
                  <c:v>s1</c:v>
                </c:pt>
                <c:pt idx="4">
                  <c:v>s2</c:v>
                </c:pt>
                <c:pt idx="5">
                  <c:v>s3</c:v>
                </c:pt>
              </c:strCache>
            </c:strRef>
          </c:cat>
          <c:val>
            <c:numRef>
              <c:f>Sheet1!$C$37:$H$37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F-4A26-A617-D924286E7F00}"/>
            </c:ext>
          </c:extLst>
        </c:ser>
        <c:ser>
          <c:idx val="2"/>
          <c:order val="2"/>
          <c:tx>
            <c:strRef>
              <c:f>Sheet1!$B$38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Sheet1!$C$35:$H$35</c:f>
              <c:strCache>
                <c:ptCount val="6"/>
                <c:pt idx="0">
                  <c:v>smk</c:v>
                </c:pt>
                <c:pt idx="1">
                  <c:v>sma</c:v>
                </c:pt>
                <c:pt idx="2">
                  <c:v>d3</c:v>
                </c:pt>
                <c:pt idx="3">
                  <c:v>s1</c:v>
                </c:pt>
                <c:pt idx="4">
                  <c:v>s2</c:v>
                </c:pt>
                <c:pt idx="5">
                  <c:v>s3</c:v>
                </c:pt>
              </c:strCache>
            </c:strRef>
          </c:cat>
          <c:val>
            <c:numRef>
              <c:f>Sheet1!$C$38:$H$38</c:f>
              <c:numCache>
                <c:formatCode>General</c:formatCode>
                <c:ptCount val="6"/>
                <c:pt idx="0" formatCode="#,##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F-4A26-A617-D924286E7F00}"/>
            </c:ext>
          </c:extLst>
        </c:ser>
        <c:ser>
          <c:idx val="3"/>
          <c:order val="3"/>
          <c:tx>
            <c:strRef>
              <c:f>Sheet1!$B$39</c:f>
              <c:strCache>
                <c:ptCount val="1"/>
                <c:pt idx="0">
                  <c:v>keuangan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Sheet1!$C$35:$H$35</c:f>
              <c:strCache>
                <c:ptCount val="6"/>
                <c:pt idx="0">
                  <c:v>smk</c:v>
                </c:pt>
                <c:pt idx="1">
                  <c:v>sma</c:v>
                </c:pt>
                <c:pt idx="2">
                  <c:v>d3</c:v>
                </c:pt>
                <c:pt idx="3">
                  <c:v>s1</c:v>
                </c:pt>
                <c:pt idx="4">
                  <c:v>s2</c:v>
                </c:pt>
                <c:pt idx="5">
                  <c:v>s3</c:v>
                </c:pt>
              </c:strCache>
            </c:strRef>
          </c:cat>
          <c:val>
            <c:numRef>
              <c:f>Sheet1!$C$39:$H$39</c:f>
              <c:numCache>
                <c:formatCode>General</c:formatCode>
                <c:ptCount val="6"/>
                <c:pt idx="0" formatCode="#,##0">
                  <c:v>12</c:v>
                </c:pt>
                <c:pt idx="1">
                  <c:v>5</c:v>
                </c:pt>
                <c:pt idx="2">
                  <c:v>14</c:v>
                </c:pt>
                <c:pt idx="3">
                  <c:v>12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AF-4A26-A617-D924286E7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359919"/>
        <c:axId val="746354639"/>
      </c:barChart>
      <c:catAx>
        <c:axId val="74635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54639"/>
        <c:crosses val="autoZero"/>
        <c:auto val="1"/>
        <c:lblAlgn val="ctr"/>
        <c:lblOffset val="100"/>
        <c:noMultiLvlLbl val="0"/>
      </c:catAx>
      <c:valAx>
        <c:axId val="7463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5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28</xdr:row>
      <xdr:rowOff>47625</xdr:rowOff>
    </xdr:from>
    <xdr:to>
      <xdr:col>16</xdr:col>
      <xdr:colOff>590550</xdr:colOff>
      <xdr:row>42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979683-491C-DE30-54C2-3CE026268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0F46-47FB-4FFF-BD88-2A55A76B45E8}">
  <dimension ref="B1:H39"/>
  <sheetViews>
    <sheetView tabSelected="1" topLeftCell="B19" workbookViewId="0">
      <selection activeCell="H38" sqref="H38"/>
    </sheetView>
  </sheetViews>
  <sheetFormatPr defaultRowHeight="15" x14ac:dyDescent="0.25"/>
  <cols>
    <col min="2" max="2" width="29.85546875" customWidth="1"/>
    <col min="3" max="3" width="15.28515625" style="8" customWidth="1"/>
    <col min="4" max="4" width="23.28515625" customWidth="1"/>
    <col min="5" max="5" width="14.140625" bestFit="1" customWidth="1"/>
    <col min="6" max="6" width="17.7109375" bestFit="1" customWidth="1"/>
    <col min="7" max="7" width="14" bestFit="1" customWidth="1"/>
    <col min="8" max="8" width="14.28515625" bestFit="1" customWidth="1"/>
  </cols>
  <sheetData>
    <row r="1" spans="2:5" x14ac:dyDescent="0.25">
      <c r="B1" s="2" t="s">
        <v>10</v>
      </c>
      <c r="C1" s="2"/>
      <c r="D1" s="2"/>
      <c r="E1" s="2"/>
    </row>
    <row r="2" spans="2:5" x14ac:dyDescent="0.25">
      <c r="B2" s="3" t="s">
        <v>3</v>
      </c>
      <c r="C2" s="6" t="s">
        <v>4</v>
      </c>
      <c r="D2" s="3" t="s">
        <v>5</v>
      </c>
      <c r="E2" s="3" t="s">
        <v>6</v>
      </c>
    </row>
    <row r="3" spans="2:5" x14ac:dyDescent="0.25">
      <c r="B3" s="4" t="s">
        <v>7</v>
      </c>
      <c r="C3" s="7">
        <v>120000</v>
      </c>
      <c r="D3" s="4">
        <v>10</v>
      </c>
      <c r="E3" s="7">
        <f>C3*D3</f>
        <v>1200000</v>
      </c>
    </row>
    <row r="4" spans="2:5" x14ac:dyDescent="0.25">
      <c r="B4" s="4" t="s">
        <v>8</v>
      </c>
      <c r="C4" s="7">
        <v>80000</v>
      </c>
      <c r="D4" s="4">
        <v>12</v>
      </c>
      <c r="E4" s="7">
        <f t="shared" ref="E4:E10" si="0">C4*D4</f>
        <v>960000</v>
      </c>
    </row>
    <row r="5" spans="2:5" x14ac:dyDescent="0.25">
      <c r="B5" s="4" t="s">
        <v>9</v>
      </c>
      <c r="C5" s="7">
        <v>45000</v>
      </c>
      <c r="D5" s="4">
        <v>7</v>
      </c>
      <c r="E5" s="7">
        <f t="shared" si="0"/>
        <v>315000</v>
      </c>
    </row>
    <row r="6" spans="2:5" x14ac:dyDescent="0.25">
      <c r="B6" s="4" t="s">
        <v>11</v>
      </c>
      <c r="C6" s="7">
        <v>78000</v>
      </c>
      <c r="D6" s="4">
        <v>9</v>
      </c>
      <c r="E6" s="7">
        <f t="shared" si="0"/>
        <v>702000</v>
      </c>
    </row>
    <row r="7" spans="2:5" x14ac:dyDescent="0.25">
      <c r="B7" s="4" t="s">
        <v>12</v>
      </c>
      <c r="C7" s="7">
        <v>90000</v>
      </c>
      <c r="D7" s="4">
        <v>8</v>
      </c>
      <c r="E7" s="7">
        <f t="shared" si="0"/>
        <v>720000</v>
      </c>
    </row>
    <row r="8" spans="2:5" x14ac:dyDescent="0.25">
      <c r="B8" s="4" t="s">
        <v>13</v>
      </c>
      <c r="C8" s="7">
        <v>87000</v>
      </c>
      <c r="D8" s="4">
        <v>11</v>
      </c>
      <c r="E8" s="7">
        <f t="shared" si="0"/>
        <v>957000</v>
      </c>
    </row>
    <row r="9" spans="2:5" x14ac:dyDescent="0.25">
      <c r="B9" s="4" t="s">
        <v>14</v>
      </c>
      <c r="C9" s="7">
        <v>55000</v>
      </c>
      <c r="D9" s="4">
        <v>6</v>
      </c>
      <c r="E9" s="7">
        <f t="shared" si="0"/>
        <v>330000</v>
      </c>
    </row>
    <row r="10" spans="2:5" x14ac:dyDescent="0.25">
      <c r="B10" s="4" t="s">
        <v>1</v>
      </c>
      <c r="C10" s="7">
        <v>69000</v>
      </c>
      <c r="D10" s="4">
        <v>13</v>
      </c>
      <c r="E10" s="7">
        <f t="shared" si="0"/>
        <v>897000</v>
      </c>
    </row>
    <row r="11" spans="2:5" x14ac:dyDescent="0.25">
      <c r="B11" s="4" t="s">
        <v>0</v>
      </c>
      <c r="C11" s="7">
        <f>SUM(C3:C10)</f>
        <v>624000</v>
      </c>
      <c r="D11" s="4">
        <f>SUM(D3:D10)</f>
        <v>76</v>
      </c>
      <c r="E11" s="7">
        <f>SUM(E3:E10)</f>
        <v>6081000</v>
      </c>
    </row>
    <row r="12" spans="2:5" x14ac:dyDescent="0.25">
      <c r="B12" s="4" t="s">
        <v>2</v>
      </c>
      <c r="C12" s="7">
        <f>MAX(C3:C10)</f>
        <v>120000</v>
      </c>
      <c r="D12" s="4"/>
      <c r="E12" s="7">
        <f>MAX(E3:E10)</f>
        <v>1200000</v>
      </c>
    </row>
    <row r="13" spans="2:5" x14ac:dyDescent="0.25">
      <c r="B13" s="10" t="s">
        <v>15</v>
      </c>
      <c r="C13" s="7">
        <f>MIN(C3:C10)</f>
        <v>45000</v>
      </c>
      <c r="D13" s="4"/>
      <c r="E13" s="7">
        <f>MIN(E3:E10)</f>
        <v>315000</v>
      </c>
    </row>
    <row r="14" spans="2:5" x14ac:dyDescent="0.25">
      <c r="B14" s="10" t="s">
        <v>16</v>
      </c>
      <c r="C14" s="7">
        <f>AVERAGE(C3:C10)</f>
        <v>78000</v>
      </c>
      <c r="D14" s="4"/>
      <c r="E14" s="7">
        <f>AVERAGE(E3:E10)</f>
        <v>760125</v>
      </c>
    </row>
    <row r="19" spans="2:8" x14ac:dyDescent="0.25">
      <c r="B19" s="1" t="s">
        <v>17</v>
      </c>
      <c r="C19" s="1"/>
      <c r="D19" s="1"/>
      <c r="E19" s="1"/>
      <c r="F19" s="1"/>
    </row>
    <row r="20" spans="2:8" x14ac:dyDescent="0.25">
      <c r="B20" t="s">
        <v>18</v>
      </c>
      <c r="C20" s="8">
        <v>2500</v>
      </c>
    </row>
    <row r="21" spans="2:8" x14ac:dyDescent="0.25">
      <c r="B21" s="3" t="s">
        <v>3</v>
      </c>
      <c r="C21" s="7" t="s">
        <v>19</v>
      </c>
      <c r="D21" s="4" t="s">
        <v>20</v>
      </c>
      <c r="E21" s="4" t="s">
        <v>21</v>
      </c>
      <c r="F21" s="10" t="s">
        <v>22</v>
      </c>
      <c r="G21" s="10" t="s">
        <v>23</v>
      </c>
      <c r="H21" s="10" t="s">
        <v>24</v>
      </c>
    </row>
    <row r="22" spans="2:8" x14ac:dyDescent="0.25">
      <c r="B22" s="4" t="s">
        <v>7</v>
      </c>
      <c r="C22" s="5">
        <v>15</v>
      </c>
      <c r="D22" s="7">
        <f>C22*$C$20</f>
        <v>37500</v>
      </c>
      <c r="E22" s="4" t="str">
        <f>IF(C22&lt;5,"mobil",IF(C22&lt;10,"motor","penghapus"))</f>
        <v>penghapus</v>
      </c>
      <c r="F22" s="12">
        <f>COUNTIF(E22:E29,E22)</f>
        <v>2</v>
      </c>
      <c r="G22" s="15">
        <f>COUNTIF(E22:E29,E24)</f>
        <v>2</v>
      </c>
      <c r="H22" s="15">
        <f>COUNTIF(E22:E29,E29)</f>
        <v>4</v>
      </c>
    </row>
    <row r="23" spans="2:8" x14ac:dyDescent="0.25">
      <c r="B23" s="4" t="s">
        <v>8</v>
      </c>
      <c r="C23" s="5">
        <v>10</v>
      </c>
      <c r="D23" s="7">
        <f t="shared" ref="D23:D29" si="1">C23*$C$20</f>
        <v>25000</v>
      </c>
      <c r="E23" s="4" t="str">
        <f t="shared" ref="E23:E29" si="2">IF(C23&lt;5,"mobil",IF(C23&lt;10,"motor","penghapus"))</f>
        <v>penghapus</v>
      </c>
      <c r="F23" s="13"/>
      <c r="G23" s="16"/>
      <c r="H23" s="16"/>
    </row>
    <row r="24" spans="2:8" x14ac:dyDescent="0.25">
      <c r="B24" s="4" t="s">
        <v>9</v>
      </c>
      <c r="C24" s="5">
        <v>4</v>
      </c>
      <c r="D24" s="7">
        <f t="shared" si="1"/>
        <v>10000</v>
      </c>
      <c r="E24" s="4" t="str">
        <f t="shared" si="2"/>
        <v>mobil</v>
      </c>
      <c r="F24" s="13"/>
      <c r="G24" s="16"/>
      <c r="H24" s="16"/>
    </row>
    <row r="25" spans="2:8" x14ac:dyDescent="0.25">
      <c r="B25" s="4" t="s">
        <v>11</v>
      </c>
      <c r="C25" s="5">
        <v>5</v>
      </c>
      <c r="D25" s="7">
        <f t="shared" si="1"/>
        <v>12500</v>
      </c>
      <c r="E25" s="4" t="str">
        <f t="shared" si="2"/>
        <v>motor</v>
      </c>
      <c r="F25" s="13"/>
      <c r="G25" s="16"/>
      <c r="H25" s="16"/>
    </row>
    <row r="26" spans="2:8" x14ac:dyDescent="0.25">
      <c r="B26" s="4" t="s">
        <v>12</v>
      </c>
      <c r="C26" s="5">
        <v>6</v>
      </c>
      <c r="D26" s="7">
        <f t="shared" si="1"/>
        <v>15000</v>
      </c>
      <c r="E26" s="4" t="str">
        <f t="shared" si="2"/>
        <v>motor</v>
      </c>
      <c r="F26" s="13"/>
      <c r="G26" s="16"/>
      <c r="H26" s="16"/>
    </row>
    <row r="27" spans="2:8" x14ac:dyDescent="0.25">
      <c r="B27" s="4" t="s">
        <v>13</v>
      </c>
      <c r="C27" s="5">
        <v>5</v>
      </c>
      <c r="D27" s="7">
        <f t="shared" si="1"/>
        <v>12500</v>
      </c>
      <c r="E27" s="4" t="str">
        <f t="shared" si="2"/>
        <v>motor</v>
      </c>
      <c r="F27" s="13"/>
      <c r="G27" s="16"/>
      <c r="H27" s="16"/>
    </row>
    <row r="28" spans="2:8" x14ac:dyDescent="0.25">
      <c r="B28" s="4" t="s">
        <v>14</v>
      </c>
      <c r="C28" s="5">
        <v>4</v>
      </c>
      <c r="D28" s="7">
        <f t="shared" si="1"/>
        <v>10000</v>
      </c>
      <c r="E28" s="4" t="str">
        <f t="shared" si="2"/>
        <v>mobil</v>
      </c>
      <c r="F28" s="13"/>
      <c r="G28" s="16"/>
      <c r="H28" s="16"/>
    </row>
    <row r="29" spans="2:8" x14ac:dyDescent="0.25">
      <c r="B29" s="4" t="s">
        <v>1</v>
      </c>
      <c r="C29" s="5">
        <v>7</v>
      </c>
      <c r="D29" s="7">
        <f t="shared" si="1"/>
        <v>17500</v>
      </c>
      <c r="E29" s="4" t="str">
        <f t="shared" si="2"/>
        <v>motor</v>
      </c>
      <c r="F29" s="14"/>
      <c r="G29" s="17"/>
      <c r="H29" s="17"/>
    </row>
    <row r="30" spans="2:8" x14ac:dyDescent="0.25">
      <c r="C30"/>
      <c r="D30" s="9"/>
      <c r="E30" s="11"/>
      <c r="G30" s="9"/>
    </row>
    <row r="31" spans="2:8" x14ac:dyDescent="0.25">
      <c r="C31"/>
      <c r="D31" s="9"/>
      <c r="E31" s="11"/>
    </row>
    <row r="32" spans="2:8" x14ac:dyDescent="0.25">
      <c r="C32"/>
      <c r="D32" s="9"/>
      <c r="E32" s="11"/>
    </row>
    <row r="33" spans="2:8" x14ac:dyDescent="0.25">
      <c r="C33"/>
      <c r="D33" s="9"/>
      <c r="E33" s="11"/>
    </row>
    <row r="34" spans="2:8" x14ac:dyDescent="0.25">
      <c r="D34" s="9"/>
      <c r="E34" s="11"/>
    </row>
    <row r="35" spans="2:8" x14ac:dyDescent="0.25">
      <c r="B35" s="4" t="s">
        <v>25</v>
      </c>
      <c r="C35" s="5" t="s">
        <v>26</v>
      </c>
      <c r="D35" s="4" t="s">
        <v>27</v>
      </c>
      <c r="E35" s="10" t="s">
        <v>30</v>
      </c>
      <c r="F35" s="4" t="s">
        <v>28</v>
      </c>
      <c r="G35" s="4" t="s">
        <v>29</v>
      </c>
      <c r="H35" s="4" t="s">
        <v>31</v>
      </c>
    </row>
    <row r="36" spans="2:8" x14ac:dyDescent="0.25">
      <c r="B36" s="4" t="s">
        <v>32</v>
      </c>
      <c r="C36" s="5">
        <v>15</v>
      </c>
      <c r="D36" s="4">
        <v>4</v>
      </c>
      <c r="E36" s="10">
        <v>12</v>
      </c>
      <c r="F36" s="4">
        <v>10</v>
      </c>
      <c r="G36" s="4">
        <v>2</v>
      </c>
      <c r="H36" s="4">
        <v>1</v>
      </c>
    </row>
    <row r="37" spans="2:8" x14ac:dyDescent="0.25">
      <c r="B37" s="4" t="s">
        <v>33</v>
      </c>
      <c r="C37" s="5">
        <v>0</v>
      </c>
      <c r="D37" s="4">
        <v>0</v>
      </c>
      <c r="E37" s="10">
        <v>1</v>
      </c>
      <c r="F37" s="4">
        <v>3</v>
      </c>
      <c r="G37" s="4">
        <v>5</v>
      </c>
      <c r="H37" s="4">
        <v>4</v>
      </c>
    </row>
    <row r="38" spans="2:8" x14ac:dyDescent="0.25">
      <c r="B38" s="4" t="s">
        <v>34</v>
      </c>
      <c r="C38" s="5">
        <v>8</v>
      </c>
      <c r="D38" s="4">
        <v>0</v>
      </c>
      <c r="E38" s="4">
        <v>1</v>
      </c>
      <c r="F38" s="4">
        <v>4</v>
      </c>
      <c r="G38" s="4">
        <v>5</v>
      </c>
      <c r="H38" s="4">
        <v>1</v>
      </c>
    </row>
    <row r="39" spans="2:8" x14ac:dyDescent="0.25">
      <c r="B39" s="4" t="s">
        <v>35</v>
      </c>
      <c r="C39" s="5">
        <v>12</v>
      </c>
      <c r="D39" s="4">
        <v>5</v>
      </c>
      <c r="E39" s="4">
        <v>14</v>
      </c>
      <c r="F39" s="4">
        <v>12</v>
      </c>
      <c r="G39" s="4">
        <v>4</v>
      </c>
      <c r="H39" s="4">
        <v>2</v>
      </c>
    </row>
  </sheetData>
  <mergeCells count="5">
    <mergeCell ref="B1:E1"/>
    <mergeCell ref="B19:F19"/>
    <mergeCell ref="F22:F29"/>
    <mergeCell ref="G22:G29"/>
    <mergeCell ref="H22:H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opan</dc:creator>
  <cp:lastModifiedBy>jo opan</cp:lastModifiedBy>
  <dcterms:created xsi:type="dcterms:W3CDTF">2025-04-17T03:02:50Z</dcterms:created>
  <dcterms:modified xsi:type="dcterms:W3CDTF">2025-04-17T06:28:36Z</dcterms:modified>
</cp:coreProperties>
</file>