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y acer\Documents\komputer tiip3\"/>
    </mc:Choice>
  </mc:AlternateContent>
  <xr:revisionPtr revIDLastSave="0" documentId="8_{A684CD09-FFD7-42FA-8E51-C5F32986C032}" xr6:coauthVersionLast="47" xr6:coauthVersionMax="47" xr10:uidLastSave="{00000000-0000-0000-0000-000000000000}"/>
  <bookViews>
    <workbookView xWindow="-105" yWindow="0" windowWidth="18555" windowHeight="16305" xr2:uid="{57692F0C-D94E-48DE-A38A-4C5D2396C78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9" i="1" l="1"/>
  <c r="H10" i="1"/>
  <c r="H11" i="1"/>
  <c r="H12" i="1"/>
  <c r="H8" i="1"/>
  <c r="H43" i="1"/>
  <c r="J43" i="1" s="1"/>
  <c r="H44" i="1"/>
  <c r="J44" i="1" s="1"/>
  <c r="H45" i="1"/>
  <c r="J45" i="1" s="1"/>
  <c r="H47" i="1"/>
  <c r="J47" i="1" s="1"/>
  <c r="H48" i="1"/>
  <c r="J48" i="1" s="1"/>
  <c r="D41" i="1"/>
  <c r="F41" i="1" s="1"/>
  <c r="H41" i="1" s="1"/>
  <c r="J41" i="1" s="1"/>
  <c r="D42" i="1"/>
  <c r="F42" i="1" s="1"/>
  <c r="H42" i="1" s="1"/>
  <c r="J42" i="1" s="1"/>
  <c r="D43" i="1"/>
  <c r="F43" i="1" s="1"/>
  <c r="D44" i="1"/>
  <c r="F44" i="1" s="1"/>
  <c r="D45" i="1"/>
  <c r="F45" i="1" s="1"/>
  <c r="D46" i="1"/>
  <c r="F46" i="1" s="1"/>
  <c r="H46" i="1" s="1"/>
  <c r="J46" i="1" s="1"/>
  <c r="D47" i="1"/>
  <c r="F47" i="1" s="1"/>
  <c r="D48" i="1"/>
  <c r="D49" i="1"/>
  <c r="D50" i="1"/>
  <c r="F50" i="1" s="1"/>
  <c r="H50" i="1" s="1"/>
  <c r="J50" i="1" s="1"/>
  <c r="F48" i="1"/>
  <c r="F49" i="1"/>
  <c r="H49" i="1" s="1"/>
  <c r="J49" i="1" s="1"/>
  <c r="L41" i="1" l="1" a="1"/>
  <c r="L41" i="1" s="1"/>
  <c r="G21" i="1"/>
  <c r="F21" i="1"/>
  <c r="E21" i="1"/>
  <c r="D22" i="1"/>
  <c r="D23" i="1"/>
  <c r="D24" i="1"/>
  <c r="D25" i="1"/>
  <c r="D26" i="1"/>
  <c r="D27" i="1"/>
  <c r="D21" i="1"/>
  <c r="D8" i="1"/>
  <c r="D9" i="1"/>
  <c r="D10" i="1"/>
  <c r="D11" i="1"/>
  <c r="D12" i="1"/>
  <c r="E12" i="1" l="1"/>
  <c r="E11" i="1"/>
  <c r="E10" i="1"/>
  <c r="E9" i="1"/>
  <c r="E8" i="1"/>
  <c r="F8" i="1" a="1"/>
  <c r="F8" i="1" s="1"/>
  <c r="G8" i="1" s="1"/>
  <c r="I21" i="1"/>
  <c r="H21" i="1"/>
  <c r="D14" i="1"/>
  <c r="D13" i="1"/>
  <c r="G9" i="1" l="1"/>
  <c r="G10" i="1"/>
  <c r="G11" i="1"/>
  <c r="G12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<sst xmlns="http://schemas.openxmlformats.org/spreadsheetml/2006/main" count="50" uniqueCount="47">
  <si>
    <t>HARAPAN JAYA RENTAL</t>
  </si>
  <si>
    <t>LAPORAN PENDAPAT SEWA MOBIL</t>
  </si>
  <si>
    <t xml:space="preserve">Jl. Sudirman Bandung </t>
  </si>
  <si>
    <t>Pertanggal</t>
  </si>
  <si>
    <t>Tarif sewa/Hari</t>
  </si>
  <si>
    <t>Nama Penyewa</t>
  </si>
  <si>
    <t>Lama Sewa</t>
  </si>
  <si>
    <t>Biaya Sewa</t>
  </si>
  <si>
    <t>Total</t>
  </si>
  <si>
    <t>Agung</t>
  </si>
  <si>
    <t>Frans</t>
  </si>
  <si>
    <t>Nia</t>
  </si>
  <si>
    <t>Parlan</t>
  </si>
  <si>
    <t>Damar</t>
  </si>
  <si>
    <t>Hadiah</t>
  </si>
  <si>
    <t>Harga sewa Tertinggi</t>
  </si>
  <si>
    <t>Nilai Mahasiswa TIIP 3</t>
  </si>
  <si>
    <t>Mahasiswa</t>
  </si>
  <si>
    <t>Nilai</t>
  </si>
  <si>
    <t>Grade</t>
  </si>
  <si>
    <t>A</t>
  </si>
  <si>
    <t>F</t>
  </si>
  <si>
    <t>Dianto</t>
  </si>
  <si>
    <t>Radiansyah</t>
  </si>
  <si>
    <t>Faza</t>
  </si>
  <si>
    <t>Dwiki</t>
  </si>
  <si>
    <t>Fariz</t>
  </si>
  <si>
    <t>Mika</t>
  </si>
  <si>
    <t>Sifa</t>
  </si>
  <si>
    <t>Jika nilai lebih dari 79 = A</t>
  </si>
  <si>
    <t>Jika nilai antara 70-79 = B</t>
  </si>
  <si>
    <t>Jika nilai antara 60-69 = C</t>
  </si>
  <si>
    <t>Jika nilai antara 50-59 = D</t>
  </si>
  <si>
    <t>Selain itu F</t>
  </si>
  <si>
    <t xml:space="preserve">Nilai Tertinggi </t>
  </si>
  <si>
    <t>Nilai Terendah</t>
  </si>
  <si>
    <t>Rata-Rata Nilai Kelas</t>
  </si>
  <si>
    <t>Perkalian</t>
  </si>
  <si>
    <t>Hasil</t>
  </si>
  <si>
    <t>Dibagi</t>
  </si>
  <si>
    <t>Ditambah</t>
  </si>
  <si>
    <t>Dikurang</t>
  </si>
  <si>
    <t>hasil</t>
  </si>
  <si>
    <t>sisa dibagi</t>
  </si>
  <si>
    <t>Diskon</t>
  </si>
  <si>
    <t>Biaya Setelah diskon</t>
  </si>
  <si>
    <t>Harga Diskon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</si>
</sst>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Rp&quot;#,##0.00"/>
    <numFmt numFmtId="169" formatCode="#,##0.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1" xfId="0" applyBorder="1"/>
    <xf numFmtId="0" fontId="0" fillId="0" borderId="0" xfId="0" applyBorder="1"/>
    <xf numFmtId="0" fontId="0" fillId="0" borderId="0" xfId="0" applyBorder="1" applyAlignment="1">
      <alignment horizontal="center"/>
    </xf>
    <xf numFmtId="14" fontId="0" fillId="0" borderId="0" xfId="0" applyNumberFormat="1" applyBorder="1"/>
    <xf numFmtId="0" fontId="0" fillId="0" borderId="6" xfId="0" applyBorder="1"/>
    <xf numFmtId="0" fontId="0" fillId="0" borderId="4" xfId="0" applyBorder="1"/>
    <xf numFmtId="20" fontId="0" fillId="0" borderId="0" xfId="0" applyNumberFormat="1" applyBorder="1"/>
    <xf numFmtId="0" fontId="1" fillId="0" borderId="1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0" fillId="0" borderId="0" xfId="0" applyAlignment="1">
      <alignment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169" fontId="0" fillId="0" borderId="1" xfId="0" applyNumberFormat="1" applyBorder="1"/>
    <xf numFmtId="3" fontId="0" fillId="0" borderId="6" xfId="0" applyNumberFormat="1" applyBorder="1" applyAlignment="1">
      <alignment horizontal="center" vertical="center"/>
    </xf>
    <xf numFmtId="3" fontId="0" fillId="0" borderId="7" xfId="0" applyNumberFormat="1" applyBorder="1" applyAlignment="1">
      <alignment horizontal="center" vertical="center"/>
    </xf>
    <xf numFmtId="3" fontId="0" fillId="0" borderId="5" xfId="0" applyNumberFormat="1" applyBorder="1" applyAlignment="1">
      <alignment horizontal="center" vertical="center"/>
    </xf>
    <xf numFmtId="169" fontId="0" fillId="0" borderId="6" xfId="0" applyNumberFormat="1" applyBorder="1" applyAlignment="1">
      <alignment horizontal="center" vertical="center"/>
    </xf>
    <xf numFmtId="169" fontId="0" fillId="0" borderId="7" xfId="0" applyNumberFormat="1" applyBorder="1" applyAlignment="1">
      <alignment horizontal="center" vertical="center"/>
    </xf>
    <xf numFmtId="169" fontId="0" fillId="0" borderId="5" xfId="0" applyNumberFormat="1" applyBorder="1" applyAlignment="1">
      <alignment horizontal="center" vertical="center"/>
    </xf>
    <xf numFmtId="164" fontId="0" fillId="0" borderId="0" xfId="0" applyNumberFormat="1" applyBorder="1"/>
    <xf numFmtId="0" fontId="0" fillId="0" borderId="1" xfId="0" applyFont="1" applyFill="1" applyBorder="1" applyAlignment="1">
      <alignment horizontal="center"/>
    </xf>
    <xf numFmtId="0" fontId="1" fillId="0" borderId="1" xfId="0" applyFont="1" applyBorder="1" applyAlignment="1">
      <alignment vertical="center"/>
    </xf>
    <xf numFmtId="0" fontId="1" fillId="0" borderId="1" xfId="0" applyFont="1" applyFill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1" xfId="0" applyBorder="1" applyAlignment="1"/>
    <xf numFmtId="164" fontId="0" fillId="0" borderId="1" xfId="0" applyNumberFormat="1" applyBorder="1" applyAlignment="1"/>
    <xf numFmtId="0" fontId="0" fillId="0" borderId="2" xfId="0" applyBorder="1" applyAlignment="1"/>
    <xf numFmtId="0" fontId="0" fillId="0" borderId="3" xfId="0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A0B7E-FFC9-493F-BA65-07A368852F31}">
  <dimension ref="A1:L54"/>
  <sheetViews>
    <sheetView tabSelected="1" workbookViewId="0">
      <selection activeCell="G18" sqref="G18"/>
    </sheetView>
  </sheetViews>
  <sheetFormatPr defaultRowHeight="15" x14ac:dyDescent="0.25"/>
  <cols>
    <col min="2" max="2" width="23.42578125" bestFit="1" customWidth="1"/>
    <col min="3" max="3" width="12.42578125" bestFit="1" customWidth="1"/>
    <col min="4" max="4" width="16.28515625" customWidth="1"/>
    <col min="5" max="5" width="28.7109375" bestFit="1" customWidth="1"/>
    <col min="6" max="6" width="14.140625" bestFit="1" customWidth="1"/>
    <col min="7" max="7" width="19.42578125" bestFit="1" customWidth="1"/>
    <col min="8" max="8" width="12.42578125" bestFit="1" customWidth="1"/>
    <col min="11" max="11" width="10.140625" bestFit="1" customWidth="1"/>
  </cols>
  <sheetData>
    <row r="1" spans="1:8" x14ac:dyDescent="0.25">
      <c r="B1" s="2"/>
      <c r="C1" s="2"/>
      <c r="D1" s="2"/>
    </row>
    <row r="2" spans="1:8" x14ac:dyDescent="0.25">
      <c r="B2" s="9" t="s">
        <v>0</v>
      </c>
      <c r="C2" s="9"/>
      <c r="D2" s="9"/>
    </row>
    <row r="3" spans="1:8" x14ac:dyDescent="0.25">
      <c r="B3" s="9" t="s">
        <v>1</v>
      </c>
      <c r="C3" s="9"/>
      <c r="D3" s="9"/>
    </row>
    <row r="4" spans="1:8" x14ac:dyDescent="0.25">
      <c r="B4" s="3" t="s">
        <v>2</v>
      </c>
      <c r="C4" s="3"/>
      <c r="D4" s="3"/>
    </row>
    <row r="5" spans="1:8" x14ac:dyDescent="0.25">
      <c r="B5" s="2" t="s">
        <v>3</v>
      </c>
      <c r="C5" s="4">
        <v>45764</v>
      </c>
      <c r="D5" s="7">
        <v>0.60972222222222228</v>
      </c>
    </row>
    <row r="6" spans="1:8" x14ac:dyDescent="0.25">
      <c r="B6" s="2" t="s">
        <v>4</v>
      </c>
      <c r="C6" s="21">
        <v>320011</v>
      </c>
      <c r="D6" s="2"/>
    </row>
    <row r="7" spans="1:8" x14ac:dyDescent="0.25">
      <c r="B7" s="8" t="s">
        <v>5</v>
      </c>
      <c r="C7" s="8" t="s">
        <v>6</v>
      </c>
      <c r="D7" s="8" t="s">
        <v>7</v>
      </c>
      <c r="E7" s="8" t="s">
        <v>14</v>
      </c>
      <c r="F7" s="1" t="s">
        <v>44</v>
      </c>
      <c r="G7" s="1" t="s">
        <v>45</v>
      </c>
      <c r="H7" s="22" t="s">
        <v>46</v>
      </c>
    </row>
    <row r="8" spans="1:8" x14ac:dyDescent="0.25">
      <c r="B8" s="29" t="s">
        <v>9</v>
      </c>
      <c r="C8" s="29">
        <v>10</v>
      </c>
      <c r="D8" s="30">
        <f>C8*$C$6</f>
        <v>3200110</v>
      </c>
      <c r="E8" s="29" t="str">
        <f>IF(D8&lt;2500000,"TIDAK MENDAPATKAN HADIAH","PAYUNG CANTIK")</f>
        <v>PAYUNG CANTIK</v>
      </c>
      <c r="F8" s="29" t="str" cm="1">
        <f t="array" ref="F8:F12">IF(D8:D12&gt;3000000,"15%",IF(D8:D12&gt;2000000,"10%","8%"))</f>
        <v>15%</v>
      </c>
      <c r="G8" s="30">
        <f>D8-(D8*F8)</f>
        <v>2720093.5</v>
      </c>
      <c r="H8" s="30">
        <f>D8*F8</f>
        <v>480016.5</v>
      </c>
    </row>
    <row r="9" spans="1:8" x14ac:dyDescent="0.25">
      <c r="B9" s="29" t="s">
        <v>10</v>
      </c>
      <c r="C9" s="29">
        <v>5</v>
      </c>
      <c r="D9" s="30">
        <f t="shared" ref="D9:D12" si="0">C9*$C$6</f>
        <v>1600055</v>
      </c>
      <c r="E9" s="29" t="str">
        <f>IF(D9&lt;2500000,"TIDAK MENDAPATKAN HADIAH","PAYUNG CANTIK")</f>
        <v>TIDAK MENDAPATKAN HADIAH</v>
      </c>
      <c r="F9" s="29" t="str">
        <v>8%</v>
      </c>
      <c r="G9" s="30">
        <f>D9-(D9*F9)</f>
        <v>1472050.6</v>
      </c>
      <c r="H9" s="30">
        <f t="shared" ref="H9:H12" si="1">D9*F9</f>
        <v>128004.40000000001</v>
      </c>
    </row>
    <row r="10" spans="1:8" x14ac:dyDescent="0.25">
      <c r="B10" s="29" t="s">
        <v>11</v>
      </c>
      <c r="C10" s="29">
        <v>7</v>
      </c>
      <c r="D10" s="30">
        <f t="shared" si="0"/>
        <v>2240077</v>
      </c>
      <c r="E10" s="29" t="str">
        <f t="shared" ref="E10:E12" si="2">IF(D10&lt;2500000,"TIDAK MENDAPATKAN HADIAH","PAYUNG CANTIK")</f>
        <v>TIDAK MENDAPATKAN HADIAH</v>
      </c>
      <c r="F10" s="29" t="str">
        <v>10%</v>
      </c>
      <c r="G10" s="30">
        <f>D10-(D10*F10)</f>
        <v>2016069.3</v>
      </c>
      <c r="H10" s="30">
        <f t="shared" si="1"/>
        <v>224007.7</v>
      </c>
    </row>
    <row r="11" spans="1:8" x14ac:dyDescent="0.25">
      <c r="B11" s="29" t="s">
        <v>12</v>
      </c>
      <c r="C11" s="29">
        <v>8</v>
      </c>
      <c r="D11" s="30">
        <f t="shared" si="0"/>
        <v>2560088</v>
      </c>
      <c r="E11" s="29" t="str">
        <f t="shared" si="2"/>
        <v>PAYUNG CANTIK</v>
      </c>
      <c r="F11" s="29" t="str">
        <v>10%</v>
      </c>
      <c r="G11" s="30">
        <f>D11-(D11*F11)</f>
        <v>2304079.2000000002</v>
      </c>
      <c r="H11" s="30">
        <f t="shared" si="1"/>
        <v>256008.80000000002</v>
      </c>
    </row>
    <row r="12" spans="1:8" x14ac:dyDescent="0.25">
      <c r="B12" s="29" t="s">
        <v>13</v>
      </c>
      <c r="C12" s="29">
        <v>9</v>
      </c>
      <c r="D12" s="30">
        <f t="shared" si="0"/>
        <v>2880099</v>
      </c>
      <c r="E12" s="29" t="str">
        <f t="shared" si="2"/>
        <v>PAYUNG CANTIK</v>
      </c>
      <c r="F12" s="29" t="str">
        <v>10%</v>
      </c>
      <c r="G12" s="30">
        <f>D12-(D12*F12)</f>
        <v>2592089.1</v>
      </c>
      <c r="H12" s="30">
        <f t="shared" si="1"/>
        <v>288009.90000000002</v>
      </c>
    </row>
    <row r="13" spans="1:8" x14ac:dyDescent="0.25">
      <c r="B13" s="31" t="s">
        <v>8</v>
      </c>
      <c r="C13" s="32"/>
      <c r="D13" s="30">
        <f>SUM(D8:D12)</f>
        <v>12480429</v>
      </c>
      <c r="E13" s="29"/>
      <c r="F13" s="29"/>
      <c r="G13" s="29"/>
      <c r="H13" s="29"/>
    </row>
    <row r="14" spans="1:8" x14ac:dyDescent="0.25">
      <c r="A14" s="2"/>
      <c r="B14" s="31" t="s">
        <v>15</v>
      </c>
      <c r="C14" s="32"/>
      <c r="D14" s="30">
        <f>MAX(D8:D12)</f>
        <v>3200110</v>
      </c>
      <c r="E14" s="29"/>
      <c r="F14" s="29"/>
      <c r="G14" s="29"/>
      <c r="H14" s="29"/>
    </row>
    <row r="15" spans="1:8" x14ac:dyDescent="0.25">
      <c r="A15" s="2"/>
      <c r="B15" s="2"/>
      <c r="C15" s="2"/>
      <c r="D15" s="2"/>
    </row>
    <row r="16" spans="1:8" x14ac:dyDescent="0.25">
      <c r="A16" s="2"/>
      <c r="B16" s="2"/>
      <c r="C16" s="2"/>
      <c r="D16" s="2"/>
    </row>
    <row r="17" spans="1:9" x14ac:dyDescent="0.25">
      <c r="A17" s="2"/>
      <c r="B17" s="2"/>
      <c r="C17" s="2"/>
      <c r="D17" s="2"/>
    </row>
    <row r="18" spans="1:9" x14ac:dyDescent="0.25">
      <c r="A18" s="2"/>
      <c r="B18" s="3" t="s">
        <v>16</v>
      </c>
      <c r="C18" s="3"/>
      <c r="D18" s="3"/>
    </row>
    <row r="19" spans="1:9" x14ac:dyDescent="0.25">
      <c r="B19" s="2"/>
      <c r="C19" s="2"/>
      <c r="D19" s="2"/>
    </row>
    <row r="20" spans="1:9" x14ac:dyDescent="0.25">
      <c r="B20" s="25" t="s">
        <v>17</v>
      </c>
      <c r="C20" s="25" t="s">
        <v>18</v>
      </c>
      <c r="D20" s="25" t="s">
        <v>19</v>
      </c>
      <c r="E20" s="26" t="s">
        <v>34</v>
      </c>
      <c r="F20" s="26" t="s">
        <v>35</v>
      </c>
      <c r="G20" s="25" t="s">
        <v>36</v>
      </c>
      <c r="H20" s="26" t="s">
        <v>20</v>
      </c>
      <c r="I20" s="26" t="s">
        <v>21</v>
      </c>
    </row>
    <row r="21" spans="1:9" x14ac:dyDescent="0.25">
      <c r="B21" s="1" t="s">
        <v>22</v>
      </c>
      <c r="C21" s="1">
        <v>80</v>
      </c>
      <c r="D21" s="1" t="str">
        <f>IF(C21&gt;=79,"A",IF(C21&gt;=70,"B",IF(C21&gt;=60,"C",IF(C21&gt;=50,"D","F"))))</f>
        <v>A</v>
      </c>
      <c r="E21" s="11">
        <f>MAX(C21:C27)</f>
        <v>80</v>
      </c>
      <c r="F21" s="11">
        <f>MIN(C21:C27)</f>
        <v>30</v>
      </c>
      <c r="G21" s="15">
        <f>AVERAGE(C21:C27)</f>
        <v>61.142857142857146</v>
      </c>
      <c r="H21" s="11">
        <f>COUNTIF(D21:D27,D21)</f>
        <v>1</v>
      </c>
      <c r="I21" s="11">
        <f>COUNTIF(D21:D27,D27)</f>
        <v>2</v>
      </c>
    </row>
    <row r="22" spans="1:9" x14ac:dyDescent="0.25">
      <c r="B22" s="1" t="s">
        <v>23</v>
      </c>
      <c r="C22" s="1">
        <v>65</v>
      </c>
      <c r="D22" s="1" t="str">
        <f t="shared" ref="D22:D27" si="3">IF(C22&gt;=79,"A",IF(C22&gt;=70,"B",IF(C22&gt;=60,"C",IF(C22&gt;=50,"D","F"))))</f>
        <v>C</v>
      </c>
      <c r="E22" s="12"/>
      <c r="F22" s="12"/>
      <c r="G22" s="16"/>
      <c r="H22" s="12"/>
      <c r="I22" s="12"/>
    </row>
    <row r="23" spans="1:9" x14ac:dyDescent="0.25">
      <c r="B23" s="1" t="s">
        <v>24</v>
      </c>
      <c r="C23" s="1">
        <v>42</v>
      </c>
      <c r="D23" s="1" t="str">
        <f t="shared" si="3"/>
        <v>F</v>
      </c>
      <c r="E23" s="12"/>
      <c r="F23" s="12"/>
      <c r="G23" s="16"/>
      <c r="H23" s="12"/>
      <c r="I23" s="12"/>
    </row>
    <row r="24" spans="1:9" x14ac:dyDescent="0.25">
      <c r="B24" s="1" t="s">
        <v>25</v>
      </c>
      <c r="C24" s="1">
        <v>68</v>
      </c>
      <c r="D24" s="1" t="str">
        <f t="shared" si="3"/>
        <v>C</v>
      </c>
      <c r="E24" s="12"/>
      <c r="F24" s="12"/>
      <c r="G24" s="16"/>
      <c r="H24" s="12"/>
      <c r="I24" s="12"/>
    </row>
    <row r="25" spans="1:9" x14ac:dyDescent="0.25">
      <c r="B25" s="1" t="s">
        <v>26</v>
      </c>
      <c r="C25" s="1">
        <v>70</v>
      </c>
      <c r="D25" s="1" t="str">
        <f t="shared" si="3"/>
        <v>B</v>
      </c>
      <c r="E25" s="12"/>
      <c r="F25" s="12"/>
      <c r="G25" s="16"/>
      <c r="H25" s="12"/>
      <c r="I25" s="12"/>
    </row>
    <row r="26" spans="1:9" x14ac:dyDescent="0.25">
      <c r="B26" s="1" t="s">
        <v>27</v>
      </c>
      <c r="C26" s="1">
        <v>73</v>
      </c>
      <c r="D26" s="1" t="str">
        <f t="shared" si="3"/>
        <v>B</v>
      </c>
      <c r="E26" s="12"/>
      <c r="F26" s="12"/>
      <c r="G26" s="16"/>
      <c r="H26" s="12"/>
      <c r="I26" s="12"/>
    </row>
    <row r="27" spans="1:9" x14ac:dyDescent="0.25">
      <c r="B27" s="5" t="s">
        <v>28</v>
      </c>
      <c r="C27" s="5">
        <v>30</v>
      </c>
      <c r="D27" s="1" t="str">
        <f t="shared" si="3"/>
        <v>F</v>
      </c>
      <c r="E27" s="13"/>
      <c r="F27" s="13"/>
      <c r="G27" s="17"/>
      <c r="H27" s="13"/>
      <c r="I27" s="13"/>
    </row>
    <row r="28" spans="1:9" x14ac:dyDescent="0.25">
      <c r="B28" s="6"/>
      <c r="C28" s="6"/>
      <c r="D28" s="6"/>
      <c r="E28" s="10"/>
      <c r="F28" s="10"/>
    </row>
    <row r="29" spans="1:9" x14ac:dyDescent="0.25">
      <c r="B29" t="s">
        <v>29</v>
      </c>
      <c r="C29" s="2"/>
      <c r="D29" s="2"/>
    </row>
    <row r="30" spans="1:9" x14ac:dyDescent="0.25">
      <c r="B30" t="s">
        <v>30</v>
      </c>
      <c r="C30" s="2"/>
      <c r="D30" s="2"/>
    </row>
    <row r="31" spans="1:9" x14ac:dyDescent="0.25">
      <c r="B31" t="s">
        <v>31</v>
      </c>
      <c r="C31" s="2"/>
      <c r="D31" s="2"/>
    </row>
    <row r="32" spans="1:9" x14ac:dyDescent="0.25">
      <c r="B32" t="s">
        <v>32</v>
      </c>
    </row>
    <row r="33" spans="2:12" x14ac:dyDescent="0.25">
      <c r="B33" t="s">
        <v>33</v>
      </c>
    </row>
    <row r="40" spans="2:12" x14ac:dyDescent="0.25">
      <c r="B40" s="27" t="s">
        <v>37</v>
      </c>
      <c r="C40" s="28"/>
      <c r="D40" s="23" t="s">
        <v>38</v>
      </c>
      <c r="E40" s="23" t="s">
        <v>39</v>
      </c>
      <c r="F40" s="23" t="s">
        <v>38</v>
      </c>
      <c r="G40" s="23" t="s">
        <v>40</v>
      </c>
      <c r="H40" s="23" t="s">
        <v>38</v>
      </c>
      <c r="I40" s="24" t="s">
        <v>41</v>
      </c>
      <c r="J40" s="24" t="s">
        <v>42</v>
      </c>
      <c r="K40" s="23" t="s">
        <v>43</v>
      </c>
      <c r="L40" s="23" t="s">
        <v>38</v>
      </c>
    </row>
    <row r="41" spans="2:12" x14ac:dyDescent="0.25">
      <c r="B41" s="11">
        <v>98</v>
      </c>
      <c r="C41" s="1">
        <v>1</v>
      </c>
      <c r="D41" s="1">
        <f>C41*$B$41</f>
        <v>98</v>
      </c>
      <c r="E41" s="15">
        <v>8</v>
      </c>
      <c r="F41" s="14">
        <f>D41/$E$41</f>
        <v>12.25</v>
      </c>
      <c r="G41" s="18">
        <v>358</v>
      </c>
      <c r="H41" s="14">
        <f>F41+$G$41</f>
        <v>370.25</v>
      </c>
      <c r="I41" s="11">
        <v>11</v>
      </c>
      <c r="J41" s="14">
        <f>H41-$I$41</f>
        <v>359.25</v>
      </c>
      <c r="K41" s="11">
        <v>7</v>
      </c>
      <c r="L41" s="14" cm="1">
        <f t="array" ref="L41:L50">MOD(J41:J50,$K$41)</f>
        <v>2.25</v>
      </c>
    </row>
    <row r="42" spans="2:12" x14ac:dyDescent="0.25">
      <c r="B42" s="12"/>
      <c r="C42" s="1">
        <v>2</v>
      </c>
      <c r="D42" s="1">
        <f t="shared" ref="D42:D50" si="4">C42*$B$41</f>
        <v>196</v>
      </c>
      <c r="E42" s="16"/>
      <c r="F42" s="14">
        <f t="shared" ref="F42:F50" si="5">D42/$E$41</f>
        <v>24.5</v>
      </c>
      <c r="G42" s="19"/>
      <c r="H42" s="14">
        <f t="shared" ref="H42:H50" si="6">F42+$G$41</f>
        <v>382.5</v>
      </c>
      <c r="I42" s="12"/>
      <c r="J42" s="14">
        <f t="shared" ref="J42:J50" si="7">H42-$I$41</f>
        <v>371.5</v>
      </c>
      <c r="K42" s="12"/>
      <c r="L42" s="1">
        <v>0.5</v>
      </c>
    </row>
    <row r="43" spans="2:12" x14ac:dyDescent="0.25">
      <c r="B43" s="12"/>
      <c r="C43" s="1">
        <v>3</v>
      </c>
      <c r="D43" s="1">
        <f t="shared" si="4"/>
        <v>294</v>
      </c>
      <c r="E43" s="16"/>
      <c r="F43" s="14">
        <f t="shared" si="5"/>
        <v>36.75</v>
      </c>
      <c r="G43" s="19"/>
      <c r="H43" s="14">
        <f t="shared" si="6"/>
        <v>394.75</v>
      </c>
      <c r="I43" s="12"/>
      <c r="J43" s="14">
        <f t="shared" si="7"/>
        <v>383.75</v>
      </c>
      <c r="K43" s="12"/>
      <c r="L43" s="1">
        <v>5.75</v>
      </c>
    </row>
    <row r="44" spans="2:12" x14ac:dyDescent="0.25">
      <c r="B44" s="12"/>
      <c r="C44" s="1">
        <v>4</v>
      </c>
      <c r="D44" s="1">
        <f t="shared" si="4"/>
        <v>392</v>
      </c>
      <c r="E44" s="16"/>
      <c r="F44" s="14">
        <f t="shared" si="5"/>
        <v>49</v>
      </c>
      <c r="G44" s="19"/>
      <c r="H44" s="14">
        <f t="shared" si="6"/>
        <v>407</v>
      </c>
      <c r="I44" s="12"/>
      <c r="J44" s="14">
        <f t="shared" si="7"/>
        <v>396</v>
      </c>
      <c r="K44" s="12"/>
      <c r="L44" s="1">
        <v>4</v>
      </c>
    </row>
    <row r="45" spans="2:12" x14ac:dyDescent="0.25">
      <c r="B45" s="12"/>
      <c r="C45" s="1">
        <v>5</v>
      </c>
      <c r="D45" s="1">
        <f t="shared" si="4"/>
        <v>490</v>
      </c>
      <c r="E45" s="16"/>
      <c r="F45" s="14">
        <f t="shared" si="5"/>
        <v>61.25</v>
      </c>
      <c r="G45" s="19"/>
      <c r="H45" s="14">
        <f t="shared" si="6"/>
        <v>419.25</v>
      </c>
      <c r="I45" s="12"/>
      <c r="J45" s="14">
        <f t="shared" si="7"/>
        <v>408.25</v>
      </c>
      <c r="K45" s="12"/>
      <c r="L45" s="1">
        <v>2.25</v>
      </c>
    </row>
    <row r="46" spans="2:12" x14ac:dyDescent="0.25">
      <c r="B46" s="12"/>
      <c r="C46" s="1">
        <v>6</v>
      </c>
      <c r="D46" s="1">
        <f t="shared" si="4"/>
        <v>588</v>
      </c>
      <c r="E46" s="16"/>
      <c r="F46" s="14">
        <f t="shared" si="5"/>
        <v>73.5</v>
      </c>
      <c r="G46" s="19"/>
      <c r="H46" s="14">
        <f t="shared" si="6"/>
        <v>431.5</v>
      </c>
      <c r="I46" s="12"/>
      <c r="J46" s="14">
        <f t="shared" si="7"/>
        <v>420.5</v>
      </c>
      <c r="K46" s="12"/>
      <c r="L46" s="1">
        <v>0.5</v>
      </c>
    </row>
    <row r="47" spans="2:12" x14ac:dyDescent="0.25">
      <c r="B47" s="12"/>
      <c r="C47" s="1">
        <v>7</v>
      </c>
      <c r="D47" s="1">
        <f t="shared" si="4"/>
        <v>686</v>
      </c>
      <c r="E47" s="16"/>
      <c r="F47" s="14">
        <f t="shared" si="5"/>
        <v>85.75</v>
      </c>
      <c r="G47" s="19"/>
      <c r="H47" s="14">
        <f t="shared" si="6"/>
        <v>443.75</v>
      </c>
      <c r="I47" s="12"/>
      <c r="J47" s="14">
        <f t="shared" si="7"/>
        <v>432.75</v>
      </c>
      <c r="K47" s="12"/>
      <c r="L47" s="1">
        <v>5.75</v>
      </c>
    </row>
    <row r="48" spans="2:12" x14ac:dyDescent="0.25">
      <c r="B48" s="12"/>
      <c r="C48" s="1">
        <v>8</v>
      </c>
      <c r="D48" s="1">
        <f t="shared" si="4"/>
        <v>784</v>
      </c>
      <c r="E48" s="16"/>
      <c r="F48" s="14">
        <f t="shared" si="5"/>
        <v>98</v>
      </c>
      <c r="G48" s="19"/>
      <c r="H48" s="14">
        <f t="shared" si="6"/>
        <v>456</v>
      </c>
      <c r="I48" s="12"/>
      <c r="J48" s="14">
        <f t="shared" si="7"/>
        <v>445</v>
      </c>
      <c r="K48" s="12"/>
      <c r="L48" s="1">
        <v>4</v>
      </c>
    </row>
    <row r="49" spans="2:12" x14ac:dyDescent="0.25">
      <c r="B49" s="12"/>
      <c r="C49" s="1">
        <v>9</v>
      </c>
      <c r="D49" s="1">
        <f t="shared" si="4"/>
        <v>882</v>
      </c>
      <c r="E49" s="16"/>
      <c r="F49" s="14">
        <f t="shared" si="5"/>
        <v>110.25</v>
      </c>
      <c r="G49" s="19"/>
      <c r="H49" s="14">
        <f t="shared" si="6"/>
        <v>468.25</v>
      </c>
      <c r="I49" s="12"/>
      <c r="J49" s="14">
        <f t="shared" si="7"/>
        <v>457.25</v>
      </c>
      <c r="K49" s="12"/>
      <c r="L49" s="1">
        <v>2.25</v>
      </c>
    </row>
    <row r="50" spans="2:12" x14ac:dyDescent="0.25">
      <c r="B50" s="13"/>
      <c r="C50" s="5">
        <v>10</v>
      </c>
      <c r="D50" s="1">
        <f t="shared" si="4"/>
        <v>980</v>
      </c>
      <c r="E50" s="17"/>
      <c r="F50" s="14">
        <f t="shared" si="5"/>
        <v>122.5</v>
      </c>
      <c r="G50" s="20"/>
      <c r="H50" s="14">
        <f t="shared" si="6"/>
        <v>480.5</v>
      </c>
      <c r="I50" s="13"/>
      <c r="J50" s="14">
        <f t="shared" si="7"/>
        <v>469.5</v>
      </c>
      <c r="K50" s="13"/>
      <c r="L50" s="1">
        <v>0.5</v>
      </c>
    </row>
    <row r="51" spans="2:12" x14ac:dyDescent="0.25">
      <c r="B51" s="6"/>
      <c r="C51" s="6"/>
      <c r="D51" s="6"/>
      <c r="E51" s="6"/>
      <c r="F51" s="6"/>
      <c r="G51" s="6"/>
    </row>
    <row r="52" spans="2:12" x14ac:dyDescent="0.25">
      <c r="B52" s="2"/>
      <c r="C52" s="2"/>
      <c r="D52" s="2"/>
      <c r="E52" s="2"/>
      <c r="F52" s="2"/>
      <c r="G52" s="2"/>
    </row>
    <row r="53" spans="2:12" x14ac:dyDescent="0.25">
      <c r="B53" s="2"/>
      <c r="C53" s="2"/>
      <c r="D53" s="2"/>
      <c r="E53" s="2"/>
      <c r="F53" s="2"/>
      <c r="G53" s="2"/>
    </row>
    <row r="54" spans="2:12" x14ac:dyDescent="0.25">
      <c r="B54" s="2"/>
      <c r="C54" s="2"/>
      <c r="D54" s="2"/>
      <c r="E54" s="2"/>
      <c r="F54" s="2"/>
      <c r="G54" s="2"/>
    </row>
  </sheetData>
  <mergeCells count="17">
    <mergeCell ref="E41:E50"/>
    <mergeCell ref="B41:B50"/>
    <mergeCell ref="G41:G50"/>
    <mergeCell ref="I41:I50"/>
    <mergeCell ref="K41:K50"/>
    <mergeCell ref="I21:I27"/>
    <mergeCell ref="B40:C40"/>
    <mergeCell ref="B18:D18"/>
    <mergeCell ref="E21:E27"/>
    <mergeCell ref="F21:F27"/>
    <mergeCell ref="G21:G27"/>
    <mergeCell ref="H21:H27"/>
    <mergeCell ref="B2:D2"/>
    <mergeCell ref="B3:D3"/>
    <mergeCell ref="B4:D4"/>
    <mergeCell ref="B13:C13"/>
    <mergeCell ref="B14:C14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 opan</dc:creator>
  <cp:lastModifiedBy>jo opan</cp:lastModifiedBy>
  <dcterms:created xsi:type="dcterms:W3CDTF">2025-04-17T06:28:41Z</dcterms:created>
  <dcterms:modified xsi:type="dcterms:W3CDTF">2025-04-17T08:56:38Z</dcterms:modified>
</cp:coreProperties>
</file>